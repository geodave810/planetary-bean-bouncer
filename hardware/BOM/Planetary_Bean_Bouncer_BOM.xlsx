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360" yWindow="150" windowWidth="18195" windowHeight="11070"/>
  </bookViews>
  <sheets>
    <sheet name="BOM" sheetId="3" r:id="rId1"/>
  </sheets>
  <calcPr calcId="145621"/>
</workbook>
</file>

<file path=xl/calcChain.xml><?xml version="1.0" encoding="utf-8"?>
<calcChain xmlns="http://schemas.openxmlformats.org/spreadsheetml/2006/main">
  <c r="G7" i="3" l="1"/>
  <c r="G9" i="3" l="1"/>
  <c r="G45" i="3" l="1"/>
  <c r="G5" i="3" l="1"/>
  <c r="G10" i="3"/>
  <c r="G6" i="3"/>
  <c r="G20" i="3"/>
  <c r="G18" i="3"/>
  <c r="G17" i="3"/>
  <c r="G13" i="3"/>
  <c r="G28" i="3"/>
  <c r="G30" i="3"/>
  <c r="G24" i="3"/>
  <c r="G19" i="3"/>
  <c r="G43" i="3"/>
  <c r="G42" i="3"/>
  <c r="G38" i="3"/>
  <c r="G37" i="3"/>
  <c r="G36" i="3"/>
  <c r="G35" i="3"/>
  <c r="G33" i="3"/>
  <c r="G32" i="3"/>
  <c r="G31" i="3"/>
  <c r="G21" i="3"/>
  <c r="G23" i="3"/>
  <c r="G16" i="3"/>
  <c r="G15" i="3"/>
  <c r="G14" i="3"/>
  <c r="G12" i="3" l="1"/>
  <c r="G11" i="3"/>
  <c r="G8" i="3"/>
  <c r="G4" i="3"/>
  <c r="G3" i="3"/>
</calcChain>
</file>

<file path=xl/sharedStrings.xml><?xml version="1.0" encoding="utf-8"?>
<sst xmlns="http://schemas.openxmlformats.org/spreadsheetml/2006/main" count="95" uniqueCount="88">
  <si>
    <t>Planetary Bean Bouncer BOM</t>
  </si>
  <si>
    <t>Heat Gun</t>
  </si>
  <si>
    <t>https://www.amazon.com/dp/B07DX4PL1M?ref=ppx_yo2ov_dt_b_fed_asin_title</t>
  </si>
  <si>
    <t>8 Cup SS Flour Sifter</t>
  </si>
  <si>
    <t>https://www.amazon.com/DAOKI-Expansion-Arduino-Heatsink-Engraving/dp/B08KFYKKN4</t>
  </si>
  <si>
    <t>Arduino Uno + CNC shield + DRV8825</t>
  </si>
  <si>
    <t>5"-7" SS Band Clamp</t>
  </si>
  <si>
    <t>1602 LCD Display with Backpack</t>
  </si>
  <si>
    <t>M3x25mm (LCD Case)</t>
  </si>
  <si>
    <t>M3x10mm (Arduino Mount and Motor Mount)</t>
  </si>
  <si>
    <t>M5x35mm screws (Planets to Planet carrier)</t>
  </si>
  <si>
    <t>M5 locknuts</t>
  </si>
  <si>
    <t>https://boltdepot.com/Product-Details?product=15291</t>
  </si>
  <si>
    <t>https://boltdepot.com/Product-Details?product=7220</t>
  </si>
  <si>
    <t>M3 Locknuts (Not needed on Motor Mount)</t>
  </si>
  <si>
    <t>https://boltdepot.com/Product-Details?product=4792</t>
  </si>
  <si>
    <t>https://boltdepot.com/Product-Details?product=4794</t>
  </si>
  <si>
    <t>M5 washers (planet bearings)</t>
  </si>
  <si>
    <t>https://boltdepot.com/Product-Details?product=4515</t>
  </si>
  <si>
    <t>The washers I used were precision washers</t>
  </si>
  <si>
    <t>from openbuilds if you can find them</t>
  </si>
  <si>
    <t>Parts for optional 3D printed wobble disc</t>
  </si>
  <si>
    <t>https://www.amazon.com/dp/B09LGXG6F1?th=1</t>
  </si>
  <si>
    <t>4 Pcs M5x200mm 304 SS Threaded Rod (only 1 needed)</t>
  </si>
  <si>
    <t>3D printed 316L Wobble Disc</t>
  </si>
  <si>
    <t>Best price I found was from https://app.prototi.com/quote</t>
  </si>
  <si>
    <t>https://boltdepot.com/Product-Details?product=7121</t>
  </si>
  <si>
    <t>M5 External tooth SS washers</t>
  </si>
  <si>
    <t>https://boltdepot.com/Product-Details?product=12008</t>
  </si>
  <si>
    <t>M5 serrated flange nuts SS</t>
  </si>
  <si>
    <t>https://boltdepot.com/Product-Details?product=4775</t>
  </si>
  <si>
    <t>M5 Hex Nuts (Use 4mm wide nuts, NOT narrow jam nut)</t>
  </si>
  <si>
    <t>Narrow jam nuts make it more difficult to get wrench on</t>
  </si>
  <si>
    <t>both nuts</t>
  </si>
  <si>
    <t>https://www.amazon.com/dp/B0F8QPGNJL?</t>
  </si>
  <si>
    <t>M5x18mm long SS spacers</t>
  </si>
  <si>
    <t>Not completely necessary but covers more of threaded rod</t>
  </si>
  <si>
    <t>https://www.amazon.com/dp/B0F5TFX6PL?th=1</t>
  </si>
  <si>
    <t>These do not have to be SS since they are outside sifter</t>
  </si>
  <si>
    <t>10 pack of 5mm Bore shaft lock collars SS (only 1 needed)</t>
  </si>
  <si>
    <t>https://www.amazon.com/dp/B08M379TCT?th=1</t>
  </si>
  <si>
    <t>5mm bore motor hex coupler, M4 threads on opposite side</t>
  </si>
  <si>
    <t>Connects Motor to Sun gear and planets to main shaft</t>
  </si>
  <si>
    <t>M4 x25mm SS tap bolts</t>
  </si>
  <si>
    <t>https://boltdepot.com/Product-Details?product=5940</t>
  </si>
  <si>
    <t>in case those lengths work better for you.</t>
  </si>
  <si>
    <t>you might want to get a couple of 20mm &amp; 30mm length</t>
  </si>
  <si>
    <t>These connect planetary gear to M4 bore of hex couple on</t>
  </si>
  <si>
    <t>each side of the gear.</t>
  </si>
  <si>
    <t>M4 Locknut SS</t>
  </si>
  <si>
    <t>https://boltdepot.com/Product-Details?product=4793</t>
  </si>
  <si>
    <t>https://boltdepot.com/Product-Details?product=4811</t>
  </si>
  <si>
    <t>M4 Lock washers SS</t>
  </si>
  <si>
    <t>https://www.amazon.com/%EF%BC%BB12-Pack%EF%BC%BD625-2RS-Ball-Bearings-Miniature/dp/B0BRQP2QG7?th=1</t>
  </si>
  <si>
    <t>https://boltdepot.com/Product-Details?product=6633</t>
  </si>
  <si>
    <t>M5x12mm screws  about 72 needed (Pack of 100)</t>
  </si>
  <si>
    <t>M5 Tee Nuts about 72 needed(Pack of 100)</t>
  </si>
  <si>
    <t>https://www.amazon.com/Kangsiyu-Aluminum-Profile-Printer-Accessory/dp/B0FQ3P1GF3/141-9617972-1494545?th=1</t>
  </si>
  <si>
    <t>https://boltdepot.com/Product-Details?product=6638</t>
  </si>
  <si>
    <t>M5x50mm screws for controller case</t>
  </si>
  <si>
    <t>https://boltdepot.com/Product-Details?product=6641</t>
  </si>
  <si>
    <t>2040 V-Groove 500mm (You could also use T-Slot)</t>
  </si>
  <si>
    <t>2040 V-Groove 300mm (You could also use T-Slot)</t>
  </si>
  <si>
    <t>I bought mine from ACE hardware, too expensive from Amazon</t>
  </si>
  <si>
    <t>https://www.amazon.com/dp/B0CLK7J4NB?th=1</t>
  </si>
  <si>
    <t>M5 fender washers (pack of 50) only 12 needed</t>
  </si>
  <si>
    <t>https://www.amazon.com/dp/B09G9GKFPT?th=1</t>
  </si>
  <si>
    <t>24 - 18x18x30 L Brackets (4 needed)</t>
  </si>
  <si>
    <t>https://www.amazon.com/dp/B0D2L9SK1P?th=1</t>
  </si>
  <si>
    <t>QTY</t>
  </si>
  <si>
    <t>Item</t>
  </si>
  <si>
    <t>Notes</t>
  </si>
  <si>
    <t>Unit Price</t>
  </si>
  <si>
    <t>Extended Price</t>
  </si>
  <si>
    <t>Link</t>
  </si>
  <si>
    <t>Prices are approximate and reflect the author’s build at the time of writing.</t>
  </si>
  <si>
    <t>https://www.amazon.com/dp/B0DD3ZB6MT?th=1</t>
  </si>
  <si>
    <t>Estimated total (author’s build):</t>
  </si>
  <si>
    <t>Optional / Fabrication Notes</t>
  </si>
  <si>
    <t>See Sweet Maria’s wobble disc fabrication guide (link in README).</t>
  </si>
  <si>
    <t>https://www.zyltech.com/2040-v-groove-extrusion-pre-cut-lengths-300mm-2000mm/</t>
  </si>
  <si>
    <t>https://www.zyltech.com/high-accuracy-0-9-step-angle-nema-17-stepper-motor-1-5-a-0-42-nm-59-ozin/</t>
  </si>
  <si>
    <t xml:space="preserve"> 0.9 Step Angle Nema 17 Stepper Motor 1.5 A</t>
  </si>
  <si>
    <t>https://www.zyltech.com/flexible-rubber-extrusion-strips-for-20mm-aluminum-extrustion-black-blue-or-white/</t>
  </si>
  <si>
    <t>Flexible Rubber Extrusion Strips (10 meters)</t>
  </si>
  <si>
    <t>Keeps most of Chaff from roasting out of extrusions</t>
  </si>
  <si>
    <t>625-2RS bearings (12 pack) (planet bearings only 7 needed)</t>
  </si>
  <si>
    <t>1 bearing end of shaft rides 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</si>
</sst>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6" formatCode="&quot;$&quot;#,##0_);[Red]\(&quot;$&quot;#,##0\)"/>
    <numFmt numFmtId="44" formatCode="_(&quot;$&quot;* #,##0.00_);_(&quot;$&quot;* \(#,##0.00\);_(&quot;$&quot;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0" fontId="2" fillId="0" borderId="0" xfId="2"/>
    <xf numFmtId="44" fontId="0" fillId="0" borderId="0" xfId="1" applyFont="1"/>
    <xf numFmtId="6" fontId="0" fillId="0" borderId="0" xfId="1" applyNumberFormat="1" applyFont="1"/>
    <xf numFmtId="44" fontId="2" fillId="0" borderId="0" xfId="2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0" fillId="0" borderId="0" xfId="0" applyFont="1"/>
    <xf numFmtId="44" fontId="3" fillId="0" borderId="0" xfId="1" applyFont="1"/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boltdepot.com/Product-Details?product=7220" TargetMode="External"/><Relationship Id="rId13" Type="http://schemas.openxmlformats.org/officeDocument/2006/relationships/hyperlink" Target="https://boltdepot.com/Product-Details?product=7121" TargetMode="External"/><Relationship Id="rId18" Type="http://schemas.openxmlformats.org/officeDocument/2006/relationships/hyperlink" Target="https://www.amazon.com/dp/B08M379TCT?th=1" TargetMode="External"/><Relationship Id="rId26" Type="http://schemas.openxmlformats.org/officeDocument/2006/relationships/hyperlink" Target="https://boltdepot.com/Product-Details?product=6641" TargetMode="External"/><Relationship Id="rId3" Type="http://schemas.openxmlformats.org/officeDocument/2006/relationships/hyperlink" Target="https://www.zyltech.com/2040-v-groove-extrusion-pre-cut-lengths-300mm-2000mm/" TargetMode="External"/><Relationship Id="rId21" Type="http://schemas.openxmlformats.org/officeDocument/2006/relationships/hyperlink" Target="https://boltdepot.com/Product-Details?product=4811" TargetMode="External"/><Relationship Id="rId7" Type="http://schemas.openxmlformats.org/officeDocument/2006/relationships/hyperlink" Target="https://boltdepot.com/Product-Details?product=15291" TargetMode="External"/><Relationship Id="rId12" Type="http://schemas.openxmlformats.org/officeDocument/2006/relationships/hyperlink" Target="https://www.amazon.com/dp/B09LGXG6F1?th=1" TargetMode="External"/><Relationship Id="rId17" Type="http://schemas.openxmlformats.org/officeDocument/2006/relationships/hyperlink" Target="https://www.amazon.com/dp/B0F5TFX6PL?th=1" TargetMode="External"/><Relationship Id="rId25" Type="http://schemas.openxmlformats.org/officeDocument/2006/relationships/hyperlink" Target="https://boltdepot.com/Product-Details?product=6638" TargetMode="External"/><Relationship Id="rId2" Type="http://schemas.openxmlformats.org/officeDocument/2006/relationships/hyperlink" Target="https://www.amazon.com/dp/B0DD3ZB6MT?th=1" TargetMode="External"/><Relationship Id="rId16" Type="http://schemas.openxmlformats.org/officeDocument/2006/relationships/hyperlink" Target="https://www.amazon.com/dp/B0F8QPGNJL?" TargetMode="External"/><Relationship Id="rId20" Type="http://schemas.openxmlformats.org/officeDocument/2006/relationships/hyperlink" Target="https://boltdepot.com/Product-Details?product=4793" TargetMode="External"/><Relationship Id="rId29" Type="http://schemas.openxmlformats.org/officeDocument/2006/relationships/hyperlink" Target="https://www.zyltech.com/high-accuracy-0-9-step-angle-nema-17-stepper-motor-1-5-a-0-42-nm-59-ozin/" TargetMode="External"/><Relationship Id="rId1" Type="http://schemas.openxmlformats.org/officeDocument/2006/relationships/hyperlink" Target="https://www.amazon.com/dp/B07DX4PL1M?ref=ppx_yo2ov_dt_b_fed_asin_title" TargetMode="External"/><Relationship Id="rId6" Type="http://schemas.openxmlformats.org/officeDocument/2006/relationships/hyperlink" Target="https://www.amazon.com/dp/B09G9GKFPT?th=1" TargetMode="External"/><Relationship Id="rId11" Type="http://schemas.openxmlformats.org/officeDocument/2006/relationships/hyperlink" Target="https://boltdepot.com/Product-Details?product=4515" TargetMode="External"/><Relationship Id="rId24" Type="http://schemas.openxmlformats.org/officeDocument/2006/relationships/hyperlink" Target="https://www.amazon.com/Kangsiyu-Aluminum-Profile-Printer-Accessory/dp/B0FQ3P1GF3/141-9617972-1494545?th=1" TargetMode="External"/><Relationship Id="rId5" Type="http://schemas.openxmlformats.org/officeDocument/2006/relationships/hyperlink" Target="https://www.amazon.com/DAOKI-Expansion-Arduino-Heatsink-Engraving/dp/B08KFYKKN4" TargetMode="External"/><Relationship Id="rId15" Type="http://schemas.openxmlformats.org/officeDocument/2006/relationships/hyperlink" Target="https://boltdepot.com/Product-Details?product=4775" TargetMode="External"/><Relationship Id="rId23" Type="http://schemas.openxmlformats.org/officeDocument/2006/relationships/hyperlink" Target="https://boltdepot.com/Product-Details?product=6633" TargetMode="External"/><Relationship Id="rId28" Type="http://schemas.openxmlformats.org/officeDocument/2006/relationships/hyperlink" Target="https://www.amazon.com/dp/B0D2L9SK1P?th=1" TargetMode="External"/><Relationship Id="rId10" Type="http://schemas.openxmlformats.org/officeDocument/2006/relationships/hyperlink" Target="https://boltdepot.com/Product-Details?product=4794" TargetMode="External"/><Relationship Id="rId19" Type="http://schemas.openxmlformats.org/officeDocument/2006/relationships/hyperlink" Target="https://boltdepot.com/Product-Details?product=5940" TargetMode="External"/><Relationship Id="rId31" Type="http://schemas.openxmlformats.org/officeDocument/2006/relationships/printerSettings" Target="../printerSettings/printerSettings1.bin"/><Relationship Id="rId4" Type="http://schemas.openxmlformats.org/officeDocument/2006/relationships/hyperlink" Target="https://www.zyltech.com/2040-v-groove-extrusion-pre-cut-lengths-300mm-2000mm/" TargetMode="External"/><Relationship Id="rId9" Type="http://schemas.openxmlformats.org/officeDocument/2006/relationships/hyperlink" Target="https://boltdepot.com/Product-Details?product=4792" TargetMode="External"/><Relationship Id="rId14" Type="http://schemas.openxmlformats.org/officeDocument/2006/relationships/hyperlink" Target="https://boltdepot.com/Product-Details?product=12008" TargetMode="External"/><Relationship Id="rId22" Type="http://schemas.openxmlformats.org/officeDocument/2006/relationships/hyperlink" Target="https://www.amazon.com/%EF%BC%BB12-Pack%EF%BC%BD625-2RS-Ball-Bearings-Miniature/dp/B0BRQP2QG7?th=1" TargetMode="External"/><Relationship Id="rId27" Type="http://schemas.openxmlformats.org/officeDocument/2006/relationships/hyperlink" Target="https://www.amazon.com/dp/B0CLK7J4NB?th=1" TargetMode="External"/><Relationship Id="rId30" Type="http://schemas.openxmlformats.org/officeDocument/2006/relationships/hyperlink" Target="https://www.zyltech.com/flexible-rubber-extrusion-strips-for-20mm-aluminum-extrustion-black-blue-or-whit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7"/>
  <sheetViews>
    <sheetView tabSelected="1" workbookViewId="0">
      <selection activeCell="C14" sqref="C14"/>
    </sheetView>
  </sheetViews>
  <sheetFormatPr defaultRowHeight="15" x14ac:dyDescent="0.25"/>
  <cols>
    <col min="1" max="1" width="35.7109375" bestFit="1" customWidth="1"/>
    <col min="3" max="3" width="54.28515625" bestFit="1" customWidth="1"/>
    <col min="4" max="4" width="60.85546875" bestFit="1" customWidth="1"/>
    <col min="5" max="5" width="60.85546875" customWidth="1"/>
    <col min="6" max="6" width="11.140625" style="2" bestFit="1" customWidth="1"/>
    <col min="7" max="7" width="15.85546875" style="2" bestFit="1" customWidth="1"/>
  </cols>
  <sheetData>
    <row r="1" spans="1:8" ht="18.75" x14ac:dyDescent="0.3">
      <c r="A1" s="6" t="s">
        <v>0</v>
      </c>
      <c r="B1" s="7" t="s">
        <v>69</v>
      </c>
      <c r="C1" s="7" t="s">
        <v>70</v>
      </c>
      <c r="D1" s="5" t="s">
        <v>71</v>
      </c>
      <c r="E1" s="5" t="s">
        <v>78</v>
      </c>
      <c r="F1" s="10" t="s">
        <v>72</v>
      </c>
      <c r="G1" s="10" t="s">
        <v>73</v>
      </c>
      <c r="H1" s="5" t="s">
        <v>74</v>
      </c>
    </row>
    <row r="2" spans="1:8" s="8" customFormat="1" ht="15.75" x14ac:dyDescent="0.25"/>
    <row r="3" spans="1:8" x14ac:dyDescent="0.25">
      <c r="B3">
        <v>1</v>
      </c>
      <c r="C3" t="s">
        <v>1</v>
      </c>
      <c r="F3" s="2">
        <v>28.99</v>
      </c>
      <c r="G3" s="2">
        <f t="shared" ref="G3:G13" si="0">B3*F3</f>
        <v>28.99</v>
      </c>
      <c r="H3" s="1" t="s">
        <v>2</v>
      </c>
    </row>
    <row r="4" spans="1:8" x14ac:dyDescent="0.25">
      <c r="B4">
        <v>1</v>
      </c>
      <c r="C4" t="s">
        <v>3</v>
      </c>
      <c r="F4" s="2">
        <v>23.99</v>
      </c>
      <c r="G4" s="2">
        <f t="shared" si="0"/>
        <v>23.99</v>
      </c>
      <c r="H4" s="1" t="s">
        <v>76</v>
      </c>
    </row>
    <row r="5" spans="1:8" x14ac:dyDescent="0.25">
      <c r="B5">
        <v>4</v>
      </c>
      <c r="C5" t="s">
        <v>61</v>
      </c>
      <c r="F5" s="2">
        <v>10.08</v>
      </c>
      <c r="G5" s="2">
        <f t="shared" si="0"/>
        <v>40.32</v>
      </c>
      <c r="H5" s="1" t="s">
        <v>80</v>
      </c>
    </row>
    <row r="6" spans="1:8" x14ac:dyDescent="0.25">
      <c r="B6">
        <v>1</v>
      </c>
      <c r="C6" t="s">
        <v>62</v>
      </c>
      <c r="F6" s="2">
        <v>6.95</v>
      </c>
      <c r="G6" s="2">
        <f t="shared" si="0"/>
        <v>6.95</v>
      </c>
      <c r="H6" s="1" t="s">
        <v>80</v>
      </c>
    </row>
    <row r="7" spans="1:8" x14ac:dyDescent="0.25">
      <c r="B7">
        <v>1</v>
      </c>
      <c r="C7" t="s">
        <v>84</v>
      </c>
      <c r="D7" t="s">
        <v>85</v>
      </c>
      <c r="F7" s="2">
        <v>11.95</v>
      </c>
      <c r="G7" s="2">
        <f t="shared" si="0"/>
        <v>11.95</v>
      </c>
      <c r="H7" s="1" t="s">
        <v>83</v>
      </c>
    </row>
    <row r="8" spans="1:8" x14ac:dyDescent="0.25">
      <c r="B8">
        <v>1</v>
      </c>
      <c r="C8" t="s">
        <v>7</v>
      </c>
      <c r="F8" s="2">
        <v>8.99</v>
      </c>
      <c r="G8" s="2">
        <f t="shared" si="0"/>
        <v>8.99</v>
      </c>
      <c r="H8" s="4" t="s">
        <v>68</v>
      </c>
    </row>
    <row r="9" spans="1:8" x14ac:dyDescent="0.25">
      <c r="B9">
        <v>1</v>
      </c>
      <c r="C9" t="s">
        <v>82</v>
      </c>
      <c r="F9" s="2">
        <v>12.95</v>
      </c>
      <c r="G9" s="2">
        <f t="shared" si="0"/>
        <v>12.95</v>
      </c>
      <c r="H9" s="4" t="s">
        <v>81</v>
      </c>
    </row>
    <row r="10" spans="1:8" x14ac:dyDescent="0.25">
      <c r="B10">
        <v>1</v>
      </c>
      <c r="C10" t="s">
        <v>5</v>
      </c>
      <c r="F10" s="2">
        <v>18.989999999999998</v>
      </c>
      <c r="G10" s="2">
        <f t="shared" si="0"/>
        <v>18.989999999999998</v>
      </c>
      <c r="H10" s="1" t="s">
        <v>4</v>
      </c>
    </row>
    <row r="11" spans="1:8" x14ac:dyDescent="0.25">
      <c r="B11">
        <v>1</v>
      </c>
      <c r="C11" t="s">
        <v>6</v>
      </c>
      <c r="F11" s="2">
        <v>3.99</v>
      </c>
      <c r="G11" s="2">
        <f t="shared" si="0"/>
        <v>3.99</v>
      </c>
      <c r="H11" t="s">
        <v>63</v>
      </c>
    </row>
    <row r="12" spans="1:8" x14ac:dyDescent="0.25">
      <c r="B12">
        <v>1</v>
      </c>
      <c r="C12" t="s">
        <v>67</v>
      </c>
      <c r="F12" s="2">
        <v>7.99</v>
      </c>
      <c r="G12" s="2">
        <f t="shared" si="0"/>
        <v>7.99</v>
      </c>
      <c r="H12" s="1" t="s">
        <v>66</v>
      </c>
    </row>
    <row r="13" spans="1:8" x14ac:dyDescent="0.25">
      <c r="B13">
        <v>1</v>
      </c>
      <c r="C13" t="s">
        <v>65</v>
      </c>
      <c r="F13" s="2">
        <v>7.99</v>
      </c>
      <c r="G13" s="2">
        <f t="shared" si="0"/>
        <v>7.99</v>
      </c>
      <c r="H13" s="1" t="s">
        <v>64</v>
      </c>
    </row>
    <row r="14" spans="1:8" x14ac:dyDescent="0.25">
      <c r="B14">
        <v>4</v>
      </c>
      <c r="C14" t="s">
        <v>8</v>
      </c>
      <c r="F14" s="2">
        <v>0.12</v>
      </c>
      <c r="G14" s="2">
        <f t="shared" ref="G14:G21" si="1">B14*F14</f>
        <v>0.48</v>
      </c>
      <c r="H14" s="1" t="s">
        <v>12</v>
      </c>
    </row>
    <row r="15" spans="1:8" x14ac:dyDescent="0.25">
      <c r="B15">
        <v>8</v>
      </c>
      <c r="C15" t="s">
        <v>9</v>
      </c>
      <c r="F15" s="2">
        <v>0.08</v>
      </c>
      <c r="G15" s="2">
        <f t="shared" si="1"/>
        <v>0.64</v>
      </c>
      <c r="H15" s="1" t="s">
        <v>13</v>
      </c>
    </row>
    <row r="16" spans="1:8" x14ac:dyDescent="0.25">
      <c r="B16">
        <v>8</v>
      </c>
      <c r="C16" t="s">
        <v>14</v>
      </c>
      <c r="F16" s="2">
        <v>7.0000000000000007E-2</v>
      </c>
      <c r="G16" s="2">
        <f t="shared" si="1"/>
        <v>0.56000000000000005</v>
      </c>
      <c r="H16" s="1" t="s">
        <v>15</v>
      </c>
    </row>
    <row r="17" spans="2:8" x14ac:dyDescent="0.25">
      <c r="B17">
        <v>1</v>
      </c>
      <c r="C17" t="s">
        <v>55</v>
      </c>
      <c r="F17" s="2">
        <v>8.6</v>
      </c>
      <c r="G17" s="2">
        <f t="shared" si="1"/>
        <v>8.6</v>
      </c>
      <c r="H17" s="1" t="s">
        <v>54</v>
      </c>
    </row>
    <row r="18" spans="2:8" x14ac:dyDescent="0.25">
      <c r="B18">
        <v>1</v>
      </c>
      <c r="C18" t="s">
        <v>56</v>
      </c>
      <c r="F18" s="2">
        <v>7.95</v>
      </c>
      <c r="G18" s="2">
        <f t="shared" si="1"/>
        <v>7.95</v>
      </c>
      <c r="H18" s="1" t="s">
        <v>57</v>
      </c>
    </row>
    <row r="19" spans="2:8" x14ac:dyDescent="0.25">
      <c r="B19">
        <v>3</v>
      </c>
      <c r="C19" t="s">
        <v>10</v>
      </c>
      <c r="F19" s="2">
        <v>0.32</v>
      </c>
      <c r="G19" s="2">
        <f t="shared" si="1"/>
        <v>0.96</v>
      </c>
      <c r="H19" s="1" t="s">
        <v>58</v>
      </c>
    </row>
    <row r="20" spans="2:8" x14ac:dyDescent="0.25">
      <c r="B20">
        <v>1</v>
      </c>
      <c r="C20" t="s">
        <v>86</v>
      </c>
      <c r="E20" t="s">
        <v>87</v>
      </c>
      <c r="F20" s="2">
        <v>8.99</v>
      </c>
      <c r="G20" s="2">
        <f t="shared" si="1"/>
        <v>8.99</v>
      </c>
      <c r="H20" s="1" t="s">
        <v>53</v>
      </c>
    </row>
    <row r="21" spans="2:8" x14ac:dyDescent="0.25">
      <c r="B21">
        <v>3</v>
      </c>
      <c r="C21" t="s">
        <v>17</v>
      </c>
      <c r="D21" t="s">
        <v>19</v>
      </c>
      <c r="F21" s="2">
        <v>0.05</v>
      </c>
      <c r="G21" s="2">
        <f t="shared" si="1"/>
        <v>0.15000000000000002</v>
      </c>
      <c r="H21" s="1" t="s">
        <v>18</v>
      </c>
    </row>
    <row r="22" spans="2:8" x14ac:dyDescent="0.25">
      <c r="D22" t="s">
        <v>20</v>
      </c>
      <c r="H22" s="1"/>
    </row>
    <row r="23" spans="2:8" x14ac:dyDescent="0.25">
      <c r="B23">
        <v>8</v>
      </c>
      <c r="C23" t="s">
        <v>11</v>
      </c>
      <c r="F23" s="2">
        <v>0.09</v>
      </c>
      <c r="G23" s="2">
        <f>B23*F23</f>
        <v>0.72</v>
      </c>
      <c r="H23" s="1" t="s">
        <v>16</v>
      </c>
    </row>
    <row r="24" spans="2:8" x14ac:dyDescent="0.25">
      <c r="B24">
        <v>3</v>
      </c>
      <c r="C24" t="s">
        <v>59</v>
      </c>
      <c r="F24" s="2">
        <v>0.56000000000000005</v>
      </c>
      <c r="G24" s="2">
        <f>B24*F24</f>
        <v>1.6800000000000002</v>
      </c>
      <c r="H24" s="1" t="s">
        <v>60</v>
      </c>
    </row>
    <row r="26" spans="2:8" ht="18.75" x14ac:dyDescent="0.3">
      <c r="B26" s="6" t="s">
        <v>21</v>
      </c>
    </row>
    <row r="27" spans="2:8" ht="15.75" x14ac:dyDescent="0.25">
      <c r="B27" s="7" t="s">
        <v>69</v>
      </c>
      <c r="C27" s="7" t="s">
        <v>70</v>
      </c>
      <c r="D27" s="5" t="s">
        <v>71</v>
      </c>
      <c r="E27" s="5"/>
      <c r="F27" s="10" t="s">
        <v>72</v>
      </c>
      <c r="G27" s="10" t="s">
        <v>73</v>
      </c>
      <c r="H27" s="5" t="s">
        <v>74</v>
      </c>
    </row>
    <row r="28" spans="2:8" x14ac:dyDescent="0.25">
      <c r="B28">
        <v>1</v>
      </c>
      <c r="C28" t="s">
        <v>24</v>
      </c>
      <c r="E28" t="s">
        <v>79</v>
      </c>
      <c r="F28" s="3">
        <v>55</v>
      </c>
      <c r="G28" s="2">
        <f>B28*F28</f>
        <v>55</v>
      </c>
      <c r="H28" t="s">
        <v>25</v>
      </c>
    </row>
    <row r="29" spans="2:8" x14ac:dyDescent="0.25">
      <c r="F29" s="3"/>
    </row>
    <row r="30" spans="2:8" x14ac:dyDescent="0.25">
      <c r="B30">
        <v>1</v>
      </c>
      <c r="C30" t="s">
        <v>23</v>
      </c>
      <c r="F30" s="2">
        <v>7.99</v>
      </c>
      <c r="G30" s="2">
        <f>B30*F30</f>
        <v>7.99</v>
      </c>
      <c r="H30" s="1" t="s">
        <v>22</v>
      </c>
    </row>
    <row r="31" spans="2:8" x14ac:dyDescent="0.25">
      <c r="B31">
        <v>2</v>
      </c>
      <c r="C31" t="s">
        <v>27</v>
      </c>
      <c r="F31" s="2">
        <v>0.06</v>
      </c>
      <c r="G31" s="2">
        <f>B31*F31</f>
        <v>0.12</v>
      </c>
      <c r="H31" s="1" t="s">
        <v>26</v>
      </c>
    </row>
    <row r="32" spans="2:8" x14ac:dyDescent="0.25">
      <c r="B32">
        <v>4</v>
      </c>
      <c r="C32" t="s">
        <v>29</v>
      </c>
      <c r="F32" s="2">
        <v>0.22</v>
      </c>
      <c r="G32" s="2">
        <f>B32*F32</f>
        <v>0.88</v>
      </c>
      <c r="H32" s="1" t="s">
        <v>28</v>
      </c>
    </row>
    <row r="33" spans="2:8" x14ac:dyDescent="0.25">
      <c r="B33">
        <v>4</v>
      </c>
      <c r="C33" t="s">
        <v>31</v>
      </c>
      <c r="D33" t="s">
        <v>32</v>
      </c>
      <c r="F33" s="2">
        <v>7.0000000000000007E-2</v>
      </c>
      <c r="G33" s="2">
        <f>B33*F33</f>
        <v>0.28000000000000003</v>
      </c>
      <c r="H33" s="1" t="s">
        <v>30</v>
      </c>
    </row>
    <row r="34" spans="2:8" x14ac:dyDescent="0.25">
      <c r="D34" t="s">
        <v>33</v>
      </c>
    </row>
    <row r="35" spans="2:8" x14ac:dyDescent="0.25">
      <c r="B35">
        <v>1</v>
      </c>
      <c r="C35" t="s">
        <v>35</v>
      </c>
      <c r="D35" t="s">
        <v>36</v>
      </c>
      <c r="F35" s="2">
        <v>9.69</v>
      </c>
      <c r="G35" s="2">
        <f>B35*F35</f>
        <v>9.69</v>
      </c>
      <c r="H35" s="1" t="s">
        <v>34</v>
      </c>
    </row>
    <row r="36" spans="2:8" x14ac:dyDescent="0.25">
      <c r="B36">
        <v>1</v>
      </c>
      <c r="C36" t="s">
        <v>39</v>
      </c>
      <c r="D36" t="s">
        <v>38</v>
      </c>
      <c r="F36" s="2">
        <v>7.88</v>
      </c>
      <c r="G36" s="2">
        <f>B36*F36</f>
        <v>7.88</v>
      </c>
      <c r="H36" s="1" t="s">
        <v>37</v>
      </c>
    </row>
    <row r="37" spans="2:8" x14ac:dyDescent="0.25">
      <c r="B37">
        <v>1</v>
      </c>
      <c r="C37" t="s">
        <v>41</v>
      </c>
      <c r="D37" t="s">
        <v>42</v>
      </c>
      <c r="F37" s="2">
        <v>7.99</v>
      </c>
      <c r="G37" s="2">
        <f>B37*F37</f>
        <v>7.99</v>
      </c>
      <c r="H37" s="1" t="s">
        <v>40</v>
      </c>
    </row>
    <row r="38" spans="2:8" x14ac:dyDescent="0.25">
      <c r="B38">
        <v>2</v>
      </c>
      <c r="C38" t="s">
        <v>43</v>
      </c>
      <c r="D38" t="s">
        <v>47</v>
      </c>
      <c r="F38" s="2">
        <v>0.19</v>
      </c>
      <c r="G38" s="2">
        <f>B38*F38</f>
        <v>0.38</v>
      </c>
      <c r="H38" s="1" t="s">
        <v>44</v>
      </c>
    </row>
    <row r="39" spans="2:8" x14ac:dyDescent="0.25">
      <c r="D39" t="s">
        <v>48</v>
      </c>
      <c r="H39" s="1"/>
    </row>
    <row r="40" spans="2:8" x14ac:dyDescent="0.25">
      <c r="D40" t="s">
        <v>46</v>
      </c>
      <c r="H40" s="1"/>
    </row>
    <row r="41" spans="2:8" x14ac:dyDescent="0.25">
      <c r="D41" t="s">
        <v>45</v>
      </c>
    </row>
    <row r="42" spans="2:8" x14ac:dyDescent="0.25">
      <c r="B42">
        <v>2</v>
      </c>
      <c r="C42" t="s">
        <v>49</v>
      </c>
      <c r="F42" s="2">
        <v>0.08</v>
      </c>
      <c r="G42" s="2">
        <f>B42*F42</f>
        <v>0.16</v>
      </c>
      <c r="H42" s="1" t="s">
        <v>50</v>
      </c>
    </row>
    <row r="43" spans="2:8" x14ac:dyDescent="0.25">
      <c r="B43">
        <v>2</v>
      </c>
      <c r="C43" t="s">
        <v>52</v>
      </c>
      <c r="F43" s="2">
        <v>7.0000000000000007E-2</v>
      </c>
      <c r="G43" s="2">
        <f>B43*F43</f>
        <v>0.14000000000000001</v>
      </c>
      <c r="H43" s="1" t="s">
        <v>51</v>
      </c>
    </row>
    <row r="45" spans="2:8" ht="15.75" x14ac:dyDescent="0.25">
      <c r="C45" s="8" t="s">
        <v>77</v>
      </c>
      <c r="G45" s="2">
        <f>SUM(F3:F43)</f>
        <v>258.92999999999995</v>
      </c>
    </row>
    <row r="46" spans="2:8" x14ac:dyDescent="0.25">
      <c r="C46" s="9" t="s">
        <v>75</v>
      </c>
    </row>
    <row r="47" spans="2:8" x14ac:dyDescent="0.25">
      <c r="C47" s="9"/>
    </row>
  </sheetData>
  <hyperlinks>
    <hyperlink ref="H3" r:id="rId1"/>
    <hyperlink ref="H4" r:id="rId2"/>
    <hyperlink ref="H5" r:id="rId3"/>
    <hyperlink ref="H6" r:id="rId4"/>
    <hyperlink ref="H10" r:id="rId5"/>
    <hyperlink ref="H12" r:id="rId6"/>
    <hyperlink ref="H14" r:id="rId7"/>
    <hyperlink ref="H15" r:id="rId8"/>
    <hyperlink ref="H16" r:id="rId9"/>
    <hyperlink ref="H23" r:id="rId10"/>
    <hyperlink ref="H21" r:id="rId11"/>
    <hyperlink ref="H30" r:id="rId12"/>
    <hyperlink ref="H31" r:id="rId13"/>
    <hyperlink ref="H32" r:id="rId14"/>
    <hyperlink ref="H33" r:id="rId15"/>
    <hyperlink ref="H35" r:id="rId16"/>
    <hyperlink ref="H36" r:id="rId17"/>
    <hyperlink ref="H37" r:id="rId18"/>
    <hyperlink ref="H38" r:id="rId19"/>
    <hyperlink ref="H42" r:id="rId20"/>
    <hyperlink ref="H43" r:id="rId21"/>
    <hyperlink ref="H20" r:id="rId22"/>
    <hyperlink ref="H17" r:id="rId23"/>
    <hyperlink ref="H18" r:id="rId24"/>
    <hyperlink ref="H19" r:id="rId25"/>
    <hyperlink ref="H24" r:id="rId26"/>
    <hyperlink ref="H13" r:id="rId27"/>
    <hyperlink ref="H8" r:id="rId28"/>
    <hyperlink ref="H9" r:id="rId29"/>
    <hyperlink ref="H7" r:id="rId30"/>
  </hyperlinks>
  <pageMargins left="0.7" right="0.7" top="0.75" bottom="0.75" header="0.3" footer="0.3"/>
  <pageSetup orientation="landscape" r:id="rId3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BOM</vt:lpstr>
    </vt:vector>
  </TitlesOfParts>
  <Company>The Bunch Homestead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Bunch</dc:creator>
  <cp:lastModifiedBy>David Bunch</cp:lastModifiedBy>
  <dcterms:created xsi:type="dcterms:W3CDTF">2025-11-18T01:28:26Z</dcterms:created>
  <dcterms:modified xsi:type="dcterms:W3CDTF">2026-01-18T20:42:39Z</dcterms:modified>
</cp:coreProperties>
</file>